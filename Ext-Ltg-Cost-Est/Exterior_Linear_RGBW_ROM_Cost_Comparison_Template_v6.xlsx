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effthompson/Desktop/swe-tests/Ext-Ltg-Cost-Est/"/>
    </mc:Choice>
  </mc:AlternateContent>
  <xr:revisionPtr revIDLastSave="0" documentId="8_{5E91AA0F-2F91-064B-BAB2-E4427FB5481C}" xr6:coauthVersionLast="47" xr6:coauthVersionMax="47" xr10:uidLastSave="{00000000-0000-0000-0000-000000000000}"/>
  <bookViews>
    <workbookView xWindow="160" yWindow="1040" windowWidth="35680" windowHeight="20720" xr2:uid="{00000000-000D-0000-FFFF-FFFF00000000}"/>
  </bookViews>
  <sheets>
    <sheet name="Main" sheetId="1" r:id="rId1"/>
    <sheet name="Assum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3" i="1" l="1"/>
  <c r="AR14" i="1"/>
  <c r="AR15" i="1"/>
  <c r="BF15" i="1"/>
  <c r="BE15" i="1"/>
  <c r="BD15" i="1"/>
  <c r="BC15" i="1"/>
  <c r="BB15" i="1"/>
  <c r="BA15" i="1"/>
  <c r="AZ15" i="1"/>
  <c r="AX15" i="1"/>
  <c r="AV15" i="1"/>
  <c r="AU15" i="1"/>
  <c r="AT15" i="1"/>
  <c r="AS15" i="1"/>
  <c r="AQ15" i="1"/>
  <c r="AP15" i="1"/>
  <c r="AO15" i="1"/>
  <c r="AN15" i="1"/>
  <c r="AM15" i="1"/>
  <c r="AL15" i="1"/>
  <c r="AK15" i="1"/>
  <c r="AJ15" i="1"/>
  <c r="AI15" i="1"/>
  <c r="AH15" i="1"/>
  <c r="AG15" i="1"/>
  <c r="AE15" i="1"/>
  <c r="AB15" i="1"/>
  <c r="AD15" i="1" s="1"/>
  <c r="AA15" i="1"/>
  <c r="Z15" i="1"/>
  <c r="Y15" i="1"/>
  <c r="P15" i="1"/>
  <c r="BF14" i="1"/>
  <c r="BE14" i="1"/>
  <c r="BD14" i="1"/>
  <c r="BC14" i="1"/>
  <c r="BB14" i="1"/>
  <c r="BA14" i="1"/>
  <c r="AZ14" i="1"/>
  <c r="AX14" i="1"/>
  <c r="AV14" i="1"/>
  <c r="AU14" i="1"/>
  <c r="AT14" i="1"/>
  <c r="AS14" i="1"/>
  <c r="AQ14" i="1"/>
  <c r="AP14" i="1"/>
  <c r="AO14" i="1"/>
  <c r="AN14" i="1"/>
  <c r="AM14" i="1"/>
  <c r="AL14" i="1"/>
  <c r="AK14" i="1"/>
  <c r="AJ14" i="1"/>
  <c r="AI14" i="1"/>
  <c r="AH14" i="1"/>
  <c r="AG14" i="1"/>
  <c r="AE14" i="1"/>
  <c r="AB14" i="1"/>
  <c r="AD14" i="1" s="1"/>
  <c r="AA14" i="1"/>
  <c r="Z14" i="1"/>
  <c r="Y14" i="1"/>
  <c r="P14" i="1"/>
  <c r="BF13" i="1"/>
  <c r="BE13" i="1"/>
  <c r="BD13" i="1"/>
  <c r="BC13" i="1"/>
  <c r="BB13" i="1"/>
  <c r="BA13" i="1"/>
  <c r="AZ13" i="1"/>
  <c r="AX13" i="1"/>
  <c r="AV13" i="1"/>
  <c r="AU13" i="1"/>
  <c r="AT13" i="1"/>
  <c r="AS13" i="1"/>
  <c r="AQ13" i="1"/>
  <c r="AP13" i="1"/>
  <c r="AO13" i="1"/>
  <c r="AN13" i="1"/>
  <c r="AM13" i="1"/>
  <c r="AL13" i="1"/>
  <c r="AK13" i="1"/>
  <c r="AJ13" i="1"/>
  <c r="AI13" i="1"/>
  <c r="AH13" i="1"/>
  <c r="AG13" i="1"/>
  <c r="AE13" i="1"/>
  <c r="AB13" i="1"/>
  <c r="AD13" i="1" s="1"/>
  <c r="AA13" i="1"/>
  <c r="Z13" i="1"/>
  <c r="Y13" i="1"/>
  <c r="P13" i="1"/>
  <c r="BC12" i="1"/>
  <c r="AT12" i="1"/>
  <c r="AS12" i="1"/>
  <c r="AQ12" i="1"/>
  <c r="AP12" i="1"/>
  <c r="AO12" i="1"/>
  <c r="AM12" i="1"/>
  <c r="AK12" i="1"/>
  <c r="AI12" i="1"/>
  <c r="Z12" i="1"/>
  <c r="Y12" i="1"/>
  <c r="AJ12" i="1" s="1"/>
  <c r="P12" i="1"/>
  <c r="BC11" i="1"/>
  <c r="AT11" i="1"/>
  <c r="AS11" i="1"/>
  <c r="AQ11" i="1"/>
  <c r="AP11" i="1"/>
  <c r="AO11" i="1"/>
  <c r="AM11" i="1"/>
  <c r="AL11" i="1"/>
  <c r="AK11" i="1"/>
  <c r="AJ11" i="1"/>
  <c r="AI11" i="1"/>
  <c r="Z11" i="1"/>
  <c r="Y11" i="1"/>
  <c r="AV11" i="1" s="1"/>
  <c r="AX11" i="1" s="1"/>
  <c r="BF11" i="1" s="1"/>
  <c r="P11" i="1"/>
  <c r="BD11" i="1" s="1"/>
  <c r="AL12" i="1" l="1"/>
  <c r="AV12" i="1"/>
  <c r="AX12" i="1" s="1"/>
  <c r="BF12" i="1" s="1"/>
  <c r="AA12" i="1"/>
  <c r="AB12" i="1" s="1"/>
  <c r="AD12" i="1" s="1"/>
  <c r="BD12" i="1"/>
  <c r="AA11" i="1"/>
  <c r="AB11" i="1" s="1"/>
  <c r="AD11" i="1" s="1"/>
  <c r="AE12" i="1" l="1"/>
  <c r="AG12" i="1" s="1"/>
  <c r="AH12" i="1"/>
  <c r="AN12" i="1" s="1"/>
  <c r="AE11" i="1"/>
  <c r="AG11" i="1" s="1"/>
  <c r="AH11" i="1"/>
  <c r="AN11" i="1" s="1"/>
  <c r="AR12" i="1" l="1"/>
  <c r="AU12" i="1" s="1"/>
  <c r="BE12" i="1" s="1"/>
  <c r="AR11" i="1"/>
  <c r="AU11" i="1" s="1"/>
  <c r="AZ12" i="1" l="1"/>
  <c r="BB12" i="1" s="1"/>
  <c r="BE11" i="1"/>
  <c r="AZ11" i="1"/>
  <c r="BA12" i="1" l="1"/>
  <c r="BA11" i="1"/>
  <c r="BB11" i="1"/>
</calcChain>
</file>

<file path=xl/sharedStrings.xml><?xml version="1.0" encoding="utf-8"?>
<sst xmlns="http://schemas.openxmlformats.org/spreadsheetml/2006/main" count="131" uniqueCount="109">
  <si>
    <t>Exterior Linear RGBW ROM Cost Comparison (Template v3)</t>
  </si>
  <si>
    <t>Project</t>
  </si>
  <si>
    <t>Date</t>
  </si>
  <si>
    <t>Known Budget / Allowance ($)</t>
  </si>
  <si>
    <t>Default Building Count</t>
  </si>
  <si>
    <t>Default Total Linear Feet (LF)</t>
  </si>
  <si>
    <t>Option</t>
  </si>
  <si>
    <t>Tag</t>
  </si>
  <si>
    <t>Manufacturer</t>
  </si>
  <si>
    <t>Series / Cat #</t>
  </si>
  <si>
    <t>Sales Rep</t>
  </si>
  <si>
    <t>Driver Type</t>
  </si>
  <si>
    <t>Application / Location</t>
  </si>
  <si>
    <t>Output Type</t>
  </si>
  <si>
    <t>Pricing Basis</t>
  </si>
  <si>
    <t>DN $/LF</t>
  </si>
  <si>
    <t>DN $/4ft</t>
  </si>
  <si>
    <t>Bldg Cnt (opt)</t>
  </si>
  <si>
    <t>Total LF (opt)</t>
  </si>
  <si>
    <t>Fixture Accessories Allowance %</t>
  </si>
  <si>
    <t>Product Markup Divisor</t>
  </si>
  <si>
    <t>Fixture Total (marked up)</t>
  </si>
  <si>
    <t>Control Ecosystem</t>
  </si>
  <si>
    <t>Control Level</t>
  </si>
  <si>
    <t>Protocol</t>
  </si>
  <si>
    <t>Control Zone Size (LF per zone)</t>
  </si>
  <si>
    <t>Max Run (LF) per Power Feed</t>
  </si>
  <si>
    <t>Zones (est.)</t>
  </si>
  <si>
    <t>Channels/Zone (default)</t>
  </si>
  <si>
    <t>DMX Channels (est.)</t>
  </si>
  <si>
    <t>DMX Universes (est.)</t>
  </si>
  <si>
    <t>Universes Override</t>
  </si>
  <si>
    <t>Universes Used</t>
  </si>
  <si>
    <t>Controller Tier</t>
  </si>
  <si>
    <t>Controller Qty</t>
  </si>
  <si>
    <t>Controller Unit $</t>
  </si>
  <si>
    <t>Gateway Qty</t>
  </si>
  <si>
    <t>Gateway Unit $</t>
  </si>
  <si>
    <t>Enclosure Qty</t>
  </si>
  <si>
    <t>Enclosure Unit $</t>
  </si>
  <si>
    <t>Power/Driver Pack Qty</t>
  </si>
  <si>
    <t>Pack Unit $</t>
  </si>
  <si>
    <t>Switch Qty</t>
  </si>
  <si>
    <t>Switch Unit $</t>
  </si>
  <si>
    <t>DMX Splitter Qty</t>
  </si>
  <si>
    <t>Splitter Unit $</t>
  </si>
  <si>
    <t>Major Controls Total</t>
  </si>
  <si>
    <t>Controls Misc Allow %</t>
  </si>
  <si>
    <t>Controls Cabling $/LF</t>
  </si>
  <si>
    <t>All Controls Equip Total</t>
  </si>
  <si>
    <t>Comm Hours</t>
  </si>
  <si>
    <t>Comm Rate $/hr</t>
  </si>
  <si>
    <t>Commissioning Total</t>
  </si>
  <si>
    <t>Est Padding %</t>
  </si>
  <si>
    <t>All-in Total (padded)</t>
  </si>
  <si>
    <t>All-in $/LF</t>
  </si>
  <si>
    <t>Delta vs Budget</t>
  </si>
  <si>
    <t>Rank</t>
  </si>
  <si>
    <t>Fixture (chart)</t>
  </si>
  <si>
    <t>Controls (padded chart)</t>
  </si>
  <si>
    <t>Comm (padded chart)</t>
  </si>
  <si>
    <t>Remote</t>
  </si>
  <si>
    <t>Default Channels/Zone</t>
  </si>
  <si>
    <t>Default Misc Allow %</t>
  </si>
  <si>
    <t>Default Cabling $/LF</t>
  </si>
  <si>
    <t>Comm Base Hrs</t>
  </si>
  <si>
    <t>Comm Hrs/Zone</t>
  </si>
  <si>
    <t>Default Unit Cost</t>
  </si>
  <si>
    <t>Item Key</t>
  </si>
  <si>
    <t>Default Level</t>
  </si>
  <si>
    <t>Default Protocol</t>
  </si>
  <si>
    <t>Control Zone Size Options</t>
  </si>
  <si>
    <t>Driver Type Options</t>
  </si>
  <si>
    <t>Static White</t>
  </si>
  <si>
    <t>SMALL</t>
  </si>
  <si>
    <t>GATEWAY_EDMX_4PORT</t>
  </si>
  <si>
    <t>nLight</t>
  </si>
  <si>
    <t>0-10V/DALI</t>
  </si>
  <si>
    <t>Max Run Length</t>
  </si>
  <si>
    <t>Integral</t>
  </si>
  <si>
    <t>Tunable White</t>
  </si>
  <si>
    <t>LARGE</t>
  </si>
  <si>
    <t>NEMA_ENCLOSURE_MED</t>
  </si>
  <si>
    <t>Pharos</t>
  </si>
  <si>
    <t>DMX</t>
  </si>
  <si>
    <t>4LF</t>
  </si>
  <si>
    <t>RGB</t>
  </si>
  <si>
    <t>POWER_DRIVER_PACK</t>
  </si>
  <si>
    <t>ETC</t>
  </si>
  <si>
    <t>1LF</t>
  </si>
  <si>
    <t>RGBW</t>
  </si>
  <si>
    <t>NETWORK_SWITCH</t>
  </si>
  <si>
    <t>GVA ecosystem</t>
  </si>
  <si>
    <t>0.5LF</t>
  </si>
  <si>
    <t>DMX_SPLITTER_PRO</t>
  </si>
  <si>
    <t>Other / TBD</t>
  </si>
  <si>
    <t>0.25LF</t>
  </si>
  <si>
    <t>USPGFD</t>
  </si>
  <si>
    <t>GVA</t>
  </si>
  <si>
    <t>HIGHLIGHTER</t>
  </si>
  <si>
    <t>MZ</t>
  </si>
  <si>
    <t>GARAGE FAÇADE</t>
  </si>
  <si>
    <t>$/LF</t>
  </si>
  <si>
    <t>eDMX</t>
  </si>
  <si>
    <t>ILIGHT</t>
  </si>
  <si>
    <t>LUMINII</t>
  </si>
  <si>
    <t>CSLA</t>
  </si>
  <si>
    <t>XL1 - all pixel ctrl</t>
  </si>
  <si>
    <t>XL2 - all pixel 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</si>
</sst>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164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/>
    <xf numFmtId="14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GVA vs Luminii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(Main!$A$10,Main!$P$10,Main!$AU$10,Main!$AX$10,Main!$AZ$10)</c:f>
              <c:strCache>
                <c:ptCount val="5"/>
                <c:pt idx="0">
                  <c:v>Option</c:v>
                </c:pt>
                <c:pt idx="1">
                  <c:v>Fixture Total (marked up)</c:v>
                </c:pt>
                <c:pt idx="2">
                  <c:v>All Controls Equip Total</c:v>
                </c:pt>
                <c:pt idx="3">
                  <c:v>Commissioning Total</c:v>
                </c:pt>
                <c:pt idx="4">
                  <c:v>All-in Total (padded)</c:v>
                </c:pt>
              </c:strCache>
            </c:strRef>
          </c:cat>
          <c:val>
            <c:numRef>
              <c:f>(Main!$A$11,Main!$P$11,Main!$AU$11,Main!$AX$11,Main!$AZ$11)</c:f>
              <c:numCache>
                <c:formatCode>"$"#,##0.00_-</c:formatCode>
                <c:ptCount val="5"/>
                <c:pt idx="0" formatCode="General">
                  <c:v>1</c:v>
                </c:pt>
                <c:pt idx="1">
                  <c:v>490000.00000000006</c:v>
                </c:pt>
                <c:pt idx="2">
                  <c:v>65987.5</c:v>
                </c:pt>
                <c:pt idx="3">
                  <c:v>32200</c:v>
                </c:pt>
                <c:pt idx="4">
                  <c:v>588187.5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4-AF45-A7B9-0AB242D1891D}"/>
            </c:ext>
          </c:extLst>
        </c:ser>
        <c:ser>
          <c:idx val="1"/>
          <c:order val="1"/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(Main!$A$10,Main!$P$10,Main!$AU$10,Main!$AX$10,Main!$AZ$10)</c:f>
              <c:strCache>
                <c:ptCount val="5"/>
                <c:pt idx="0">
                  <c:v>Option</c:v>
                </c:pt>
                <c:pt idx="1">
                  <c:v>Fixture Total (marked up)</c:v>
                </c:pt>
                <c:pt idx="2">
                  <c:v>All Controls Equip Total</c:v>
                </c:pt>
                <c:pt idx="3">
                  <c:v>Commissioning Total</c:v>
                </c:pt>
                <c:pt idx="4">
                  <c:v>All-in Total (padded)</c:v>
                </c:pt>
              </c:strCache>
            </c:strRef>
          </c:cat>
          <c:val>
            <c:numRef>
              <c:f>(Main!$A$12,Main!$P$12,Main!$AU$12,Main!$AX$12,Main!$AZ$12)</c:f>
              <c:numCache>
                <c:formatCode>"$"#,##0.00_-</c:formatCode>
                <c:ptCount val="5"/>
                <c:pt idx="0" formatCode="General">
                  <c:v>2</c:v>
                </c:pt>
                <c:pt idx="1">
                  <c:v>280000</c:v>
                </c:pt>
                <c:pt idx="2">
                  <c:v>309009.5588235294</c:v>
                </c:pt>
                <c:pt idx="3">
                  <c:v>32200</c:v>
                </c:pt>
                <c:pt idx="4">
                  <c:v>621209.5588235294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44-AF45-A7B9-0AB242D1891D}"/>
            </c:ext>
          </c:extLst>
        </c:ser>
        <c:ser>
          <c:idx val="2"/>
          <c:order val="2"/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(Main!$A$10,Main!$P$10,Main!$AU$10,Main!$AX$10,Main!$AZ$10)</c:f>
              <c:strCache>
                <c:ptCount val="5"/>
                <c:pt idx="0">
                  <c:v>Option</c:v>
                </c:pt>
                <c:pt idx="1">
                  <c:v>Fixture Total (marked up)</c:v>
                </c:pt>
                <c:pt idx="2">
                  <c:v>All Controls Equip Total</c:v>
                </c:pt>
                <c:pt idx="3">
                  <c:v>Commissioning Total</c:v>
                </c:pt>
                <c:pt idx="4">
                  <c:v>All-in Total (padded)</c:v>
                </c:pt>
              </c:strCache>
            </c:strRef>
          </c:cat>
          <c:val>
            <c:numRef>
              <c:f>(Main!$A$13,Main!$P$13,Main!$AU$13,Main!$AX$13,Main!$AZ$13)</c:f>
              <c:numCache>
                <c:formatCode>"$"#,##0.00_-</c:formatCode>
                <c:ptCount val="5"/>
                <c:pt idx="0" formatCode="General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44-AF45-A7B9-0AB242D1891D}"/>
            </c:ext>
          </c:extLst>
        </c:ser>
        <c:ser>
          <c:idx val="3"/>
          <c:order val="3"/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(Main!$A$10,Main!$P$10,Main!$AU$10,Main!$AX$10,Main!$AZ$10)</c:f>
              <c:strCache>
                <c:ptCount val="5"/>
                <c:pt idx="0">
                  <c:v>Option</c:v>
                </c:pt>
                <c:pt idx="1">
                  <c:v>Fixture Total (marked up)</c:v>
                </c:pt>
                <c:pt idx="2">
                  <c:v>All Controls Equip Total</c:v>
                </c:pt>
                <c:pt idx="3">
                  <c:v>Commissioning Total</c:v>
                </c:pt>
                <c:pt idx="4">
                  <c:v>All-in Total (padded)</c:v>
                </c:pt>
              </c:strCache>
            </c:strRef>
          </c:cat>
          <c:val>
            <c:numRef>
              <c:f>(Main!$A$14,Main!$P$14,Main!$AU$14,Main!$AX$14,Main!$AZ$14)</c:f>
              <c:numCache>
                <c:formatCode>"$"#,##0.00_-</c:formatCode>
                <c:ptCount val="5"/>
                <c:pt idx="0" formatCode="General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44-AF45-A7B9-0AB242D1891D}"/>
            </c:ext>
          </c:extLst>
        </c:ser>
        <c:ser>
          <c:idx val="4"/>
          <c:order val="4"/>
          <c:spPr>
            <a:pattFill prst="narVert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(Main!$A$10,Main!$P$10,Main!$AU$10,Main!$AX$10,Main!$AZ$10)</c:f>
              <c:strCache>
                <c:ptCount val="5"/>
                <c:pt idx="0">
                  <c:v>Option</c:v>
                </c:pt>
                <c:pt idx="1">
                  <c:v>Fixture Total (marked up)</c:v>
                </c:pt>
                <c:pt idx="2">
                  <c:v>All Controls Equip Total</c:v>
                </c:pt>
                <c:pt idx="3">
                  <c:v>Commissioning Total</c:v>
                </c:pt>
                <c:pt idx="4">
                  <c:v>All-in Total (padded)</c:v>
                </c:pt>
              </c:strCache>
            </c:strRef>
          </c:cat>
          <c:val>
            <c:numRef>
              <c:f>(Main!$A$15,Main!$P$15,Main!$AU$15,Main!$AX$15,Main!$AZ$15)</c:f>
              <c:numCache>
                <c:formatCode>"$"#,##0.00_-</c:formatCode>
                <c:ptCount val="5"/>
                <c:pt idx="0" formatCode="General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44-AF45-A7B9-0AB242D18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723360016"/>
        <c:axId val="1998374336"/>
      </c:barChart>
      <c:catAx>
        <c:axId val="723360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374336"/>
        <c:crosses val="autoZero"/>
        <c:auto val="1"/>
        <c:lblAlgn val="ctr"/>
        <c:lblOffset val="100"/>
        <c:noMultiLvlLbl val="0"/>
      </c:catAx>
      <c:valAx>
        <c:axId val="199837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6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814840</xdr:colOff>
      <xdr:row>16</xdr:row>
      <xdr:rowOff>27813</xdr:rowOff>
    </xdr:from>
    <xdr:to>
      <xdr:col>4</xdr:col>
      <xdr:colOff>417153</xdr:colOff>
      <xdr:row>34</xdr:row>
      <xdr:rowOff>120510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56044-ED6C-B5BA-FAAF-1893FDEB6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5"/>
  <sheetViews>
    <sheetView tabSelected="1" zoomScale="137" workbookViewId="0">
      <pane xSplit="1" ySplit="10" topLeftCell="B11" activePane="bottomRight" state="frozen"/>
      <selection pane="topRight"/>
      <selection pane="bottomLeft"/>
      <selection pane="bottomRight" activeCell="A12" sqref="A12"/>
    </sheetView>
  </sheetViews>
  <sheetFormatPr baseColWidth="10" defaultColWidth="8.83203125" defaultRowHeight="15" x14ac:dyDescent="0.2"/>
  <cols>
    <col min="1" max="1" width="28.5" customWidth="1"/>
    <col min="2" max="2" width="16.5" customWidth="1"/>
    <col min="3" max="3" width="16" customWidth="1"/>
    <col min="4" max="4" width="18" customWidth="1"/>
    <col min="5" max="6" width="14" customWidth="1"/>
    <col min="7" max="7" width="20" customWidth="1"/>
    <col min="8" max="8" width="14" customWidth="1"/>
    <col min="9" max="9" width="12" customWidth="1"/>
    <col min="10" max="11" width="10" customWidth="1"/>
    <col min="12" max="13" width="12" customWidth="1"/>
    <col min="14" max="14" width="24" customWidth="1"/>
    <col min="15" max="16" width="18" customWidth="1"/>
    <col min="17" max="17" width="16" customWidth="1"/>
    <col min="18" max="18" width="12" customWidth="1"/>
    <col min="19" max="19" width="10" customWidth="1"/>
    <col min="20" max="20" width="20" customWidth="1"/>
    <col min="21" max="21" width="12" hidden="1" customWidth="1"/>
    <col min="22" max="22" width="16" hidden="1" customWidth="1"/>
    <col min="23" max="23" width="12" hidden="1" customWidth="1"/>
    <col min="24" max="24" width="14" customWidth="1"/>
    <col min="25" max="25" width="12" customWidth="1"/>
    <col min="26" max="27" width="14" customWidth="1"/>
    <col min="28" max="28" width="16" customWidth="1"/>
    <col min="29" max="31" width="14" customWidth="1"/>
    <col min="32" max="32" width="12" customWidth="1"/>
    <col min="33" max="33" width="14" customWidth="1"/>
    <col min="34" max="34" width="12" customWidth="1"/>
    <col min="35" max="35" width="14" customWidth="1"/>
    <col min="36" max="36" width="12" customWidth="1"/>
    <col min="37" max="37" width="14" customWidth="1"/>
    <col min="38" max="38" width="18" customWidth="1"/>
    <col min="39" max="39" width="12" customWidth="1"/>
    <col min="40" max="40" width="10" customWidth="1"/>
    <col min="41" max="41" width="12" customWidth="1"/>
    <col min="42" max="42" width="14" customWidth="1"/>
    <col min="43" max="43" width="12" customWidth="1"/>
    <col min="44" max="44" width="18" customWidth="1"/>
    <col min="45" max="45" width="16" customWidth="1"/>
    <col min="46" max="47" width="18" customWidth="1"/>
    <col min="48" max="48" width="10" customWidth="1"/>
    <col min="49" max="49" width="12" customWidth="1"/>
    <col min="50" max="50" width="18" customWidth="1"/>
    <col min="51" max="51" width="12" customWidth="1"/>
    <col min="52" max="52" width="20" customWidth="1"/>
    <col min="53" max="53" width="12" customWidth="1"/>
    <col min="54" max="54" width="14" customWidth="1"/>
    <col min="55" max="55" width="8" customWidth="1"/>
    <col min="56" max="58" width="13" hidden="1" customWidth="1"/>
  </cols>
  <sheetData>
    <row r="1" spans="1:58" ht="19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</row>
    <row r="3" spans="1:58" ht="16" x14ac:dyDescent="0.2">
      <c r="A3" s="1" t="s">
        <v>1</v>
      </c>
      <c r="B3" s="2" t="s">
        <v>97</v>
      </c>
      <c r="D3" t="s">
        <v>2</v>
      </c>
      <c r="E3" s="18">
        <v>46009</v>
      </c>
    </row>
    <row r="4" spans="1:58" ht="16" x14ac:dyDescent="0.2">
      <c r="A4" s="1" t="s">
        <v>3</v>
      </c>
      <c r="B4" s="3">
        <v>1000000</v>
      </c>
    </row>
    <row r="5" spans="1:58" ht="16" x14ac:dyDescent="0.2">
      <c r="A5" s="1" t="s">
        <v>4</v>
      </c>
      <c r="B5" s="2">
        <v>1</v>
      </c>
    </row>
    <row r="6" spans="1:58" ht="16" x14ac:dyDescent="0.2">
      <c r="A6" s="1" t="s">
        <v>5</v>
      </c>
      <c r="B6" s="2">
        <v>1000</v>
      </c>
    </row>
    <row r="10" spans="1:58" ht="36" customHeight="1" x14ac:dyDescent="0.2">
      <c r="A10" s="4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19" t="s">
        <v>17</v>
      </c>
      <c r="M10" s="4" t="s">
        <v>18</v>
      </c>
      <c r="N10" s="4" t="s">
        <v>19</v>
      </c>
      <c r="O10" s="4" t="s">
        <v>20</v>
      </c>
      <c r="P10" s="4" t="s">
        <v>21</v>
      </c>
      <c r="Q10" s="4" t="s">
        <v>22</v>
      </c>
      <c r="R10" s="4" t="s">
        <v>23</v>
      </c>
      <c r="S10" s="4" t="s">
        <v>24</v>
      </c>
      <c r="T10" s="4" t="s">
        <v>25</v>
      </c>
      <c r="U10" s="4"/>
      <c r="V10" s="4"/>
      <c r="W10" s="4"/>
      <c r="X10" s="4" t="s">
        <v>26</v>
      </c>
      <c r="Y10" s="4" t="s">
        <v>27</v>
      </c>
      <c r="Z10" s="4" t="s">
        <v>28</v>
      </c>
      <c r="AA10" s="4" t="s">
        <v>29</v>
      </c>
      <c r="AB10" s="4" t="s">
        <v>30</v>
      </c>
      <c r="AC10" s="4" t="s">
        <v>31</v>
      </c>
      <c r="AD10" s="4" t="s">
        <v>32</v>
      </c>
      <c r="AE10" s="4" t="s">
        <v>33</v>
      </c>
      <c r="AF10" s="4" t="s">
        <v>34</v>
      </c>
      <c r="AG10" s="4" t="s">
        <v>35</v>
      </c>
      <c r="AH10" s="4" t="s">
        <v>36</v>
      </c>
      <c r="AI10" s="4" t="s">
        <v>37</v>
      </c>
      <c r="AJ10" s="4" t="s">
        <v>38</v>
      </c>
      <c r="AK10" s="4" t="s">
        <v>39</v>
      </c>
      <c r="AL10" s="4" t="s">
        <v>40</v>
      </c>
      <c r="AM10" s="4" t="s">
        <v>41</v>
      </c>
      <c r="AN10" s="4" t="s">
        <v>42</v>
      </c>
      <c r="AO10" s="4" t="s">
        <v>43</v>
      </c>
      <c r="AP10" s="4" t="s">
        <v>44</v>
      </c>
      <c r="AQ10" s="4" t="s">
        <v>45</v>
      </c>
      <c r="AR10" s="4" t="s">
        <v>46</v>
      </c>
      <c r="AS10" s="4" t="s">
        <v>47</v>
      </c>
      <c r="AT10" s="4" t="s">
        <v>48</v>
      </c>
      <c r="AU10" s="4" t="s">
        <v>49</v>
      </c>
      <c r="AV10" s="4" t="s">
        <v>50</v>
      </c>
      <c r="AW10" s="4" t="s">
        <v>51</v>
      </c>
      <c r="AX10" s="4" t="s">
        <v>52</v>
      </c>
      <c r="AY10" s="4" t="s">
        <v>53</v>
      </c>
      <c r="AZ10" s="4" t="s">
        <v>54</v>
      </c>
      <c r="BA10" s="4" t="s">
        <v>55</v>
      </c>
      <c r="BB10" s="4" t="s">
        <v>56</v>
      </c>
      <c r="BC10" s="4" t="s">
        <v>57</v>
      </c>
      <c r="BD10" s="4" t="s">
        <v>58</v>
      </c>
      <c r="BE10" s="4" t="s">
        <v>59</v>
      </c>
      <c r="BF10" s="4" t="s">
        <v>60</v>
      </c>
    </row>
    <row r="11" spans="1:58" ht="16" x14ac:dyDescent="0.2">
      <c r="A11" s="5">
        <v>1</v>
      </c>
      <c r="B11" s="2" t="s">
        <v>107</v>
      </c>
      <c r="C11" s="2" t="s">
        <v>98</v>
      </c>
      <c r="D11" s="2" t="s">
        <v>99</v>
      </c>
      <c r="E11" s="2" t="s">
        <v>100</v>
      </c>
      <c r="F11" s="20" t="s">
        <v>79</v>
      </c>
      <c r="G11" s="2" t="s">
        <v>101</v>
      </c>
      <c r="H11" s="21" t="s">
        <v>90</v>
      </c>
      <c r="I11" s="21" t="s">
        <v>102</v>
      </c>
      <c r="J11" s="6">
        <v>350</v>
      </c>
      <c r="K11" s="6">
        <v>1400</v>
      </c>
      <c r="L11" s="5"/>
      <c r="M11" s="5"/>
      <c r="N11" s="7">
        <v>0.12</v>
      </c>
      <c r="O11" s="8">
        <v>0.8</v>
      </c>
      <c r="P11" s="9">
        <f>IF($B11="","",((IF($I11="$/4ft",(IF($M11="",$B$6,$M11)/4)*$K11,IF($M11="",$B$6,$M11)*$J11))*(1+$N11))/$O11)</f>
        <v>490000.00000000006</v>
      </c>
      <c r="Q11" s="21" t="s">
        <v>92</v>
      </c>
      <c r="R11" s="21">
        <v>4</v>
      </c>
      <c r="S11" s="21" t="s">
        <v>103</v>
      </c>
      <c r="T11" s="21" t="s">
        <v>89</v>
      </c>
      <c r="U11" s="5"/>
      <c r="V11" s="5">
        <v>50</v>
      </c>
      <c r="W11" s="5"/>
      <c r="X11" s="5">
        <v>300</v>
      </c>
      <c r="Y11" s="5">
        <f>IF($B11="","",IF(IF($T11="Max Run Length",$X11,IF($T11="4LF",4,IF($T11="1LF",1,IF($T11="0.5LF",0.5,IF($T11="0.25LF",0.25,"")))))="","",CEILING(IF($M11="",$B$6,$M11)/IF($T11="Max Run Length",$X11,IF($T11="4LF",4,IF($T11="1LF",1,IF($T11="0.5LF",0.5,IF($T11="0.25LF",0.25,""))))),1)))</f>
        <v>1000</v>
      </c>
      <c r="Z11" s="5">
        <f>IF($H11="","",VLOOKUP($H11,Assumptions!$A$2:$B$5,2,FALSE))</f>
        <v>4</v>
      </c>
      <c r="AA11" s="5">
        <f>IF($B11="","",ROUND($Y11*$Z11,0))</f>
        <v>4000</v>
      </c>
      <c r="AB11" s="5">
        <f>IF($B11="","",CEILING($AA11/512,1))</f>
        <v>8</v>
      </c>
      <c r="AC11" s="5"/>
      <c r="AD11" s="5">
        <f>IF($AC11&gt;0,$AC11,$AB11)</f>
        <v>8</v>
      </c>
      <c r="AE11" s="5" t="str">
        <f>IF($B11="","",IF($AD11&gt;=2,"LARGE","SMALL"))</f>
        <v>LARGE</v>
      </c>
      <c r="AF11" s="5">
        <v>1</v>
      </c>
      <c r="AG11" s="6">
        <f>IF($B11="","",VLOOKUP($AE11,Assumptions!$J$2:$K$3,2,FALSE))</f>
        <v>41640</v>
      </c>
      <c r="AH11" s="5">
        <f>IF($B11="","",IF($S11="eDMX",CEILING($AD11/4,1),0))</f>
        <v>2</v>
      </c>
      <c r="AI11" s="6">
        <f>IF($B11="","",VLOOKUP("GATEWAY_EDMX_4PORT",Assumptions!$M$2:$N$6,2,FALSE))</f>
        <v>1250</v>
      </c>
      <c r="AJ11" s="5">
        <f>IF($B11="","",IF($F11="Integral",0,IF($R11&gt;=2,MAX(IF($L11="",$B$5,$L11),CEILING($Y11/6,1)),0)))</f>
        <v>0</v>
      </c>
      <c r="AK11" s="6">
        <f>IF($B11="","",VLOOKUP("NEMA_ENCLOSURE_MED",Assumptions!$M$2:$N$6,2,FALSE))</f>
        <v>900</v>
      </c>
      <c r="AL11" s="5">
        <f>IF($B11="","",IF($F11="Integral",0,IF($R11&gt;=2,$Y11,0)))</f>
        <v>0</v>
      </c>
      <c r="AM11" s="6">
        <f>IF($B11="","",VLOOKUP("POWER_DRIVER_PACK",Assumptions!$M$2:$N$6,2,FALSE))</f>
        <v>750</v>
      </c>
      <c r="AN11" s="5">
        <f>IF($B11="","",IF($S11="eDMX",MAX(1,CEILING($AH11/12,1)),0))</f>
        <v>1</v>
      </c>
      <c r="AO11" s="6">
        <f>IF($B11="","",VLOOKUP("NETWORK_SWITCH",Assumptions!$M$2:$N$6,2,FALSE))</f>
        <v>650</v>
      </c>
      <c r="AP11" s="5">
        <f>IF($B11="","",0)</f>
        <v>0</v>
      </c>
      <c r="AQ11" s="6">
        <f>IF($B11="","",VLOOKUP("DMX_SPLITTER_PRO",Assumptions!$M$2:$N$6,2,FALSE))</f>
        <v>600</v>
      </c>
      <c r="AR11" s="9">
        <f>IF($B11="","",($AF11*$AG11)+($AH11*$AI11)+($AJ11*$AK11)+($AL11*$AM11)+($AN11*$AO11)+($AP11*$AQ11))</f>
        <v>44790</v>
      </c>
      <c r="AS11" s="7">
        <f>IF($R11="","",VLOOKUP($R11,Assumptions!$D$2:$F$6,2,FALSE))</f>
        <v>0.25</v>
      </c>
      <c r="AT11" s="6">
        <f>IF($R11="","",VLOOKUP($R11,Assumptions!$D$2:$F$6,3,FALSE))</f>
        <v>10</v>
      </c>
      <c r="AU11" s="9">
        <f>IF($B11="","",$AR11*(1+$AS11)+(IF($M11="",$B$6,$M11)*$AT11))</f>
        <v>65987.5</v>
      </c>
      <c r="AV11" s="5">
        <f>IF($R11="","",VLOOKUP($R11,Assumptions!$D$2:$H$6,4,FALSE)+($Y11*VLOOKUP($R11,Assumptions!$D$2:$H$6,5,FALSE)))</f>
        <v>184</v>
      </c>
      <c r="AW11" s="6">
        <v>175</v>
      </c>
      <c r="AX11" s="9">
        <f>IF($B11="","",$AV11*$AW11)</f>
        <v>32200</v>
      </c>
      <c r="AY11" s="7">
        <v>0</v>
      </c>
      <c r="AZ11" s="9">
        <f>IF($B11="","",$P11+($AU11+$AX11)*(1+$AY11))</f>
        <v>588187.5</v>
      </c>
      <c r="BA11" s="9">
        <f>IF($B11="","",$AZ11/IF($M11="",$B$6,$M11))</f>
        <v>588.1875</v>
      </c>
      <c r="BB11" s="9">
        <f>IF($B11="","",$AZ11-$B$4)</f>
        <v>-411812.5</v>
      </c>
      <c r="BC11" s="10" t="e">
        <f ca="1">IF($B11="","",_xludf.RANK.EQ($AZ11,$AZ$11:$AZ$15,1))</f>
        <v>#NAME?</v>
      </c>
      <c r="BD11" s="11">
        <f>IF($B11="","",$P11)</f>
        <v>490000.00000000006</v>
      </c>
      <c r="BE11" s="11">
        <f>IF($B11="","",$AU11*(1+$AY11))</f>
        <v>65987.5</v>
      </c>
      <c r="BF11" s="11">
        <f>IF($B11="","",$AX11*(1+$AY11))</f>
        <v>32200</v>
      </c>
    </row>
    <row r="12" spans="1:58" ht="16" x14ac:dyDescent="0.2">
      <c r="A12" s="5">
        <v>2</v>
      </c>
      <c r="B12" s="2" t="s">
        <v>108</v>
      </c>
      <c r="C12" s="2" t="s">
        <v>105</v>
      </c>
      <c r="D12" s="2" t="s">
        <v>104</v>
      </c>
      <c r="E12" s="2" t="s">
        <v>106</v>
      </c>
      <c r="F12" s="20" t="s">
        <v>61</v>
      </c>
      <c r="G12" s="2" t="s">
        <v>101</v>
      </c>
      <c r="H12" s="21" t="s">
        <v>90</v>
      </c>
      <c r="I12" s="21" t="s">
        <v>102</v>
      </c>
      <c r="J12" s="6">
        <v>200</v>
      </c>
      <c r="K12" s="6">
        <v>800</v>
      </c>
      <c r="L12" s="5"/>
      <c r="M12" s="5"/>
      <c r="N12" s="7">
        <v>0.12</v>
      </c>
      <c r="O12" s="8">
        <v>0.8</v>
      </c>
      <c r="P12" s="9">
        <f>IF($B12="","",((IF($I12="$/4ft",(IF($M12="",$B$6,$M12)/4)*$K12,IF($M12="",$B$6,$M12)*$J12))*(1+$N12))/$O12)</f>
        <v>280000</v>
      </c>
      <c r="Q12" s="21" t="s">
        <v>83</v>
      </c>
      <c r="R12" s="21">
        <v>4</v>
      </c>
      <c r="S12" s="21" t="s">
        <v>103</v>
      </c>
      <c r="T12" s="21" t="s">
        <v>89</v>
      </c>
      <c r="U12" s="5"/>
      <c r="V12" s="5">
        <v>50</v>
      </c>
      <c r="W12" s="5"/>
      <c r="X12" s="5">
        <v>17</v>
      </c>
      <c r="Y12" s="5">
        <f>IF($B12="","",IF(IF($T12="Max Run Length",$X12,IF($T12="4LF",4,IF($T12="1LF",1,IF($T12="0.5LF",0.5,IF($T12="0.25LF",0.25,"")))))="","",CEILING(IF($M12="",$B$6,$M12)/IF($T12="Max Run Length",$X12,IF($T12="4LF",4,IF($T12="1LF",1,IF($T12="0.5LF",0.5,IF($T12="0.25LF",0.25,""))))),1)))</f>
        <v>1000</v>
      </c>
      <c r="Z12" s="5">
        <f>IF($H12="","",VLOOKUP($H12,Assumptions!$A$2:$B$5,2,FALSE))</f>
        <v>4</v>
      </c>
      <c r="AA12" s="5">
        <f>IF($B12="","",ROUND($Y12*$Z12,0))</f>
        <v>4000</v>
      </c>
      <c r="AB12" s="5">
        <f>IF($B12="","",CEILING($AA12/512,1))</f>
        <v>8</v>
      </c>
      <c r="AC12" s="5"/>
      <c r="AD12" s="5">
        <f>IF($AC12&gt;0,$AC12,$AB12)</f>
        <v>8</v>
      </c>
      <c r="AE12" s="5" t="str">
        <f>IF($B12="","",IF($AD12&gt;=2,"LARGE","SMALL"))</f>
        <v>LARGE</v>
      </c>
      <c r="AF12" s="5">
        <v>1</v>
      </c>
      <c r="AG12" s="6">
        <f>IF($B12="","",VLOOKUP($AE12,Assumptions!$J$2:$K$3,2,FALSE))</f>
        <v>41640</v>
      </c>
      <c r="AH12" s="5">
        <f>IF($B12="","",IF($S12="eDMX",CEILING($AD12/4,1),0))</f>
        <v>2</v>
      </c>
      <c r="AI12" s="6">
        <f>IF($B12="","",VLOOKUP("GATEWAY_EDMX_4PORT",Assumptions!$M$2:$N$6,2,FALSE))</f>
        <v>1250</v>
      </c>
      <c r="AJ12" s="5">
        <f>IF($B12="","",IF($F12="Integral",0,IF($R12&gt;=2,MAX(IF($L12="",$B$5,$L12),CEILING($Y12/6,1)),0)))</f>
        <v>167</v>
      </c>
      <c r="AK12" s="6">
        <f>IF($B12="","",VLOOKUP("NEMA_ENCLOSURE_MED",Assumptions!$M$2:$N$6,2,FALSE))</f>
        <v>900</v>
      </c>
      <c r="AL12">
        <f>IF($B12="","",IF($F12="Integral",0,IF($R12&gt;=2,($Y12/$X12),0)))</f>
        <v>58.823529411764703</v>
      </c>
      <c r="AM12" s="6">
        <f>IF($B12="","",VLOOKUP("POWER_DRIVER_PACK",Assumptions!$M$2:$N$6,2,FALSE))</f>
        <v>750</v>
      </c>
      <c r="AN12" s="5">
        <f>IF($B12="","",IF($S12="eDMX",MAX(1,CEILING($AH12/12,1)),0))</f>
        <v>1</v>
      </c>
      <c r="AO12" s="6">
        <f>IF($B12="","",VLOOKUP("NETWORK_SWITCH",Assumptions!$M$2:$N$6,2,FALSE))</f>
        <v>650</v>
      </c>
      <c r="AP12" s="5">
        <f>IF($B12="","",0)</f>
        <v>0</v>
      </c>
      <c r="AQ12" s="6">
        <f>IF($B12="","",VLOOKUP("DMX_SPLITTER_PRO",Assumptions!$M$2:$N$6,2,FALSE))</f>
        <v>600</v>
      </c>
      <c r="AR12" s="9">
        <f t="shared" ref="AR12:AR15" si="0">IF($B12="","",($AF12*$AG12)+($AH12*$AI12)+($AJ12*$AK12)+($AL12*$AM12)+($AN12*$AO12)+($AP12*$AQ12))</f>
        <v>239207.64705882352</v>
      </c>
      <c r="AS12" s="7">
        <f>IF($R12="","",VLOOKUP($R12,Assumptions!$D$2:$F$6,2,FALSE))</f>
        <v>0.25</v>
      </c>
      <c r="AT12" s="6">
        <f>IF($R12="","",VLOOKUP($R12,Assumptions!$D$2:$F$6,3,FALSE))</f>
        <v>10</v>
      </c>
      <c r="AU12" s="9">
        <f>IF($B12="","",$AR12*(1+$AS12)+(IF($M12="",$B$6,$M12)*$AT12))</f>
        <v>309009.5588235294</v>
      </c>
      <c r="AV12" s="5">
        <f>IF($R12="","",VLOOKUP($R12,Assumptions!$D$2:$H$6,4,FALSE)+($Y12*VLOOKUP($R12,Assumptions!$D$2:$H$6,5,FALSE)))</f>
        <v>184</v>
      </c>
      <c r="AW12" s="6">
        <v>175</v>
      </c>
      <c r="AX12" s="9">
        <f>IF($B12="","",$AV12*$AW12)</f>
        <v>32200</v>
      </c>
      <c r="AY12" s="7">
        <v>0</v>
      </c>
      <c r="AZ12" s="9">
        <f>IF($B12="","",$P12+($AU12+$AX12)*(1+$AY12))</f>
        <v>621209.5588235294</v>
      </c>
      <c r="BA12" s="9">
        <f>IF($B12="","",$AZ12/IF($M12="",$B$6,$M12))</f>
        <v>621.20955882352939</v>
      </c>
      <c r="BB12" s="9">
        <f>IF($B12="","",$AZ12-$B$4)</f>
        <v>-378790.4411764706</v>
      </c>
      <c r="BC12" s="10" t="e">
        <f ca="1">IF($B12="","",_xludf.RANK.EQ($AZ12,$AZ$11:$AZ$15,1))</f>
        <v>#NAME?</v>
      </c>
      <c r="BD12" s="11">
        <f>IF($B12="","",$P12)</f>
        <v>280000</v>
      </c>
      <c r="BE12" s="11">
        <f>IF($B12="","",$AU12*(1+$AY12))</f>
        <v>309009.5588235294</v>
      </c>
      <c r="BF12" s="11">
        <f>IF($B12="","",$AX12*(1+$AY12))</f>
        <v>32200</v>
      </c>
    </row>
    <row r="13" spans="1:58" ht="16" x14ac:dyDescent="0.2">
      <c r="A13" s="5">
        <v>3</v>
      </c>
      <c r="B13" s="2"/>
      <c r="C13" s="2"/>
      <c r="D13" s="2"/>
      <c r="E13" s="2"/>
      <c r="F13" s="20" t="s">
        <v>61</v>
      </c>
      <c r="G13" s="2"/>
      <c r="H13" s="21"/>
      <c r="I13" s="21"/>
      <c r="J13" s="6"/>
      <c r="K13" s="6"/>
      <c r="L13" s="5"/>
      <c r="M13" s="5"/>
      <c r="N13" s="7">
        <v>0.12</v>
      </c>
      <c r="O13" s="8">
        <v>0.8</v>
      </c>
      <c r="P13" s="9" t="str">
        <f>IF($B13="","",((IF($I13="$/4ft",(IF($M13="",$B$6,$M13)/4)*$K13,IF($M13="",$B$6,$M13)*$J13))*(1+$N13))/$O13)</f>
        <v/>
      </c>
      <c r="Q13" s="21"/>
      <c r="R13" s="21"/>
      <c r="S13" s="21"/>
      <c r="T13" s="21"/>
      <c r="U13" s="5"/>
      <c r="V13" s="5">
        <v>50</v>
      </c>
      <c r="W13" s="5"/>
      <c r="X13" s="5"/>
      <c r="Y13" s="5" t="str">
        <f>IF($B13="","",IF(IF($T13="Max Run Length",$X13,IF($T13="4LF",4,IF($T13="1LF",1,IF($T13="0.5LF",0.5,IF($T13="0.25LF",0.25,"")))))="","",CEILING(IF($M13="",$B$6,$M13)/IF($T13="Max Run Length",$X13,IF($T13="4LF",4,IF($T13="1LF",1,IF($T13="0.5LF",0.5,IF($T13="0.25LF",0.25,""))))),1)))</f>
        <v/>
      </c>
      <c r="Z13" s="5" t="str">
        <f>IF($H13="","",VLOOKUP($H13,Assumptions!$A$2:$B$5,2,FALSE))</f>
        <v/>
      </c>
      <c r="AA13" s="5" t="str">
        <f>IF($B13="","",ROUND($Y13*$Z13,0))</f>
        <v/>
      </c>
      <c r="AB13" s="5" t="str">
        <f>IF($B13="","",CEILING($AA13/512,1))</f>
        <v/>
      </c>
      <c r="AC13" s="5"/>
      <c r="AD13" s="5" t="str">
        <f>IF($AC13&gt;0,$AC13,$AB13)</f>
        <v/>
      </c>
      <c r="AE13" s="5" t="str">
        <f>IF($B13="","",IF($AD13&gt;=2,"LARGE","SMALL"))</f>
        <v/>
      </c>
      <c r="AF13" s="5">
        <v>1</v>
      </c>
      <c r="AG13" s="6" t="str">
        <f>IF($B13="","",VLOOKUP($AE13,Assumptions!$J$2:$K$3,2,FALSE))</f>
        <v/>
      </c>
      <c r="AH13" s="5" t="str">
        <f>IF($B13="","",IF($S13="eDMX",CEILING($AD13/4,1),0))</f>
        <v/>
      </c>
      <c r="AI13" s="6" t="str">
        <f>IF($B13="","",VLOOKUP("GATEWAY_EDMX_4PORT",Assumptions!$M$2:$N$6,2,FALSE))</f>
        <v/>
      </c>
      <c r="AJ13" s="5" t="str">
        <f>IF($B13="","",IF($F13="Integral",0,IF($R13&gt;=2,MAX(IF($L13="",$B$5,$L13),CEILING($Y13/6,1)),0)))</f>
        <v/>
      </c>
      <c r="AK13" s="6" t="str">
        <f>IF($B13="","",VLOOKUP("NEMA_ENCLOSURE_MED",Assumptions!$M$2:$N$6,2,FALSE))</f>
        <v/>
      </c>
      <c r="AL13" s="5" t="str">
        <f>IF($B13="","",IF($F13="Integral",0,IF($R13&gt;=2,$Y13,0)))</f>
        <v/>
      </c>
      <c r="AM13" s="6" t="str">
        <f>IF($B13="","",VLOOKUP("POWER_DRIVER_PACK",Assumptions!$M$2:$N$6,2,FALSE))</f>
        <v/>
      </c>
      <c r="AN13" s="5" t="str">
        <f>IF($B13="","",IF($S13="eDMX",MAX(1,CEILING($AH13/12,1)),0))</f>
        <v/>
      </c>
      <c r="AO13" s="6" t="str">
        <f>IF($B13="","",VLOOKUP("NETWORK_SWITCH",Assumptions!$M$2:$N$6,2,FALSE))</f>
        <v/>
      </c>
      <c r="AP13" s="5" t="str">
        <f>IF($B13="","",0)</f>
        <v/>
      </c>
      <c r="AQ13" s="6" t="str">
        <f>IF($B13="","",VLOOKUP("DMX_SPLITTER_PRO",Assumptions!$M$2:$N$6,2,FALSE))</f>
        <v/>
      </c>
      <c r="AR13" s="9" t="str">
        <f t="shared" si="0"/>
        <v/>
      </c>
      <c r="AS13" s="7" t="str">
        <f>IF($R13="","",VLOOKUP($R13,Assumptions!$D$2:$F$6,2,FALSE))</f>
        <v/>
      </c>
      <c r="AT13" s="6" t="str">
        <f>IF($R13="","",VLOOKUP($R13,Assumptions!$D$2:$F$6,3,FALSE))</f>
        <v/>
      </c>
      <c r="AU13" s="9" t="str">
        <f>IF($B13="","",$AR13*(1+$AS13)+(IF($M13="",$B$6,$M13)*$AT13))</f>
        <v/>
      </c>
      <c r="AV13" s="5" t="str">
        <f>IF($R13="","",VLOOKUP($R13,Assumptions!$D$2:$H$6,4,FALSE)+($Y13*VLOOKUP($R13,Assumptions!$D$2:$H$6,5,FALSE)))</f>
        <v/>
      </c>
      <c r="AW13" s="6">
        <v>175</v>
      </c>
      <c r="AX13" s="9" t="str">
        <f>IF($B13="","",$AV13*$AW13)</f>
        <v/>
      </c>
      <c r="AY13" s="7">
        <v>0</v>
      </c>
      <c r="AZ13" s="9" t="str">
        <f>IF($B13="","",$P13+($AU13+$AX13)*(1+$AY13))</f>
        <v/>
      </c>
      <c r="BA13" s="9" t="str">
        <f>IF($B13="","",$AZ13/IF($M13="",$B$6,$M13))</f>
        <v/>
      </c>
      <c r="BB13" s="9" t="str">
        <f>IF($B13="","",$AZ13-$B$4)</f>
        <v/>
      </c>
      <c r="BC13" s="10" t="str">
        <f>IF($B13="","",_xludf.RANK.EQ($AZ13,$AZ$11:$AZ$15,1))</f>
        <v/>
      </c>
      <c r="BD13" s="11" t="str">
        <f>IF($B13="","",$P13)</f>
        <v/>
      </c>
      <c r="BE13" s="11" t="str">
        <f>IF($B13="","",$AU13*(1+$AY13))</f>
        <v/>
      </c>
      <c r="BF13" s="11" t="str">
        <f>IF($B13="","",$AX13*(1+$AY13))</f>
        <v/>
      </c>
    </row>
    <row r="14" spans="1:58" ht="16" x14ac:dyDescent="0.2">
      <c r="A14" s="5">
        <v>4</v>
      </c>
      <c r="B14" s="2"/>
      <c r="C14" s="2"/>
      <c r="D14" s="2"/>
      <c r="E14" s="2"/>
      <c r="F14" s="20" t="s">
        <v>61</v>
      </c>
      <c r="G14" s="2"/>
      <c r="H14" s="21"/>
      <c r="I14" s="21"/>
      <c r="J14" s="6"/>
      <c r="K14" s="6"/>
      <c r="L14" s="5"/>
      <c r="M14" s="5"/>
      <c r="N14" s="7">
        <v>0.12</v>
      </c>
      <c r="O14" s="8">
        <v>0.8</v>
      </c>
      <c r="P14" s="9" t="str">
        <f>IF($B14="","",((IF($I14="$/4ft",(IF($M14="",$B$6,$M14)/4)*$K14,IF($M14="",$B$6,$M14)*$J14))*(1+$N14))/$O14)</f>
        <v/>
      </c>
      <c r="Q14" s="21"/>
      <c r="R14" s="21"/>
      <c r="S14" s="21"/>
      <c r="T14" s="21"/>
      <c r="U14" s="5"/>
      <c r="V14" s="5">
        <v>50</v>
      </c>
      <c r="W14" s="5"/>
      <c r="X14" s="5"/>
      <c r="Y14" s="5" t="str">
        <f>IF($B14="","",IF(IF($T14="Max Run Length",$X14,IF($T14="4LF",4,IF($T14="1LF",1,IF($T14="0.5LF",0.5,IF($T14="0.25LF",0.25,"")))))="","",CEILING(IF($M14="",$B$6,$M14)/IF($T14="Max Run Length",$X14,IF($T14="4LF",4,IF($T14="1LF",1,IF($T14="0.5LF",0.5,IF($T14="0.25LF",0.25,""))))),1)))</f>
        <v/>
      </c>
      <c r="Z14" s="5" t="str">
        <f>IF($H14="","",VLOOKUP($H14,Assumptions!$A$2:$B$5,2,FALSE))</f>
        <v/>
      </c>
      <c r="AA14" s="5" t="str">
        <f>IF($B14="","",ROUND($Y14*$Z14,0))</f>
        <v/>
      </c>
      <c r="AB14" s="5" t="str">
        <f>IF($B14="","",CEILING($AA14/512,1))</f>
        <v/>
      </c>
      <c r="AC14" s="5"/>
      <c r="AD14" s="5" t="str">
        <f>IF($AC14&gt;0,$AC14,$AB14)</f>
        <v/>
      </c>
      <c r="AE14" s="5" t="str">
        <f>IF($B14="","",IF($AD14&gt;=2,"LARGE","SMALL"))</f>
        <v/>
      </c>
      <c r="AF14" s="5">
        <v>1</v>
      </c>
      <c r="AG14" s="6" t="str">
        <f>IF($B14="","",VLOOKUP($AE14,Assumptions!$J$2:$K$3,2,FALSE))</f>
        <v/>
      </c>
      <c r="AH14" s="5" t="str">
        <f>IF($B14="","",IF($S14="eDMX",CEILING($AD14/4,1),0))</f>
        <v/>
      </c>
      <c r="AI14" s="6" t="str">
        <f>IF($B14="","",VLOOKUP("GATEWAY_EDMX_4PORT",Assumptions!$M$2:$N$6,2,FALSE))</f>
        <v/>
      </c>
      <c r="AJ14" s="5" t="str">
        <f>IF($B14="","",IF($F14="Integral",0,IF($R14&gt;=2,MAX(IF($L14="",$B$5,$L14),CEILING($Y14/6,1)),0)))</f>
        <v/>
      </c>
      <c r="AK14" s="6" t="str">
        <f>IF($B14="","",VLOOKUP("NEMA_ENCLOSURE_MED",Assumptions!$M$2:$N$6,2,FALSE))</f>
        <v/>
      </c>
      <c r="AL14" s="5" t="str">
        <f>IF($B14="","",IF($F14="Integral",0,IF($R14&gt;=2,$Y14,0)))</f>
        <v/>
      </c>
      <c r="AM14" s="6" t="str">
        <f>IF($B14="","",VLOOKUP("POWER_DRIVER_PACK",Assumptions!$M$2:$N$6,2,FALSE))</f>
        <v/>
      </c>
      <c r="AN14" s="5" t="str">
        <f>IF($B14="","",IF($S14="eDMX",MAX(1,CEILING($AH14/12,1)),0))</f>
        <v/>
      </c>
      <c r="AO14" s="6" t="str">
        <f>IF($B14="","",VLOOKUP("NETWORK_SWITCH",Assumptions!$M$2:$N$6,2,FALSE))</f>
        <v/>
      </c>
      <c r="AP14" s="5" t="str">
        <f>IF($B14="","",0)</f>
        <v/>
      </c>
      <c r="AQ14" s="6" t="str">
        <f>IF($B14="","",VLOOKUP("DMX_SPLITTER_PRO",Assumptions!$M$2:$N$6,2,FALSE))</f>
        <v/>
      </c>
      <c r="AR14" s="9" t="str">
        <f t="shared" si="0"/>
        <v/>
      </c>
      <c r="AS14" s="7" t="str">
        <f>IF($R14="","",VLOOKUP($R14,Assumptions!$D$2:$F$6,2,FALSE))</f>
        <v/>
      </c>
      <c r="AT14" s="6" t="str">
        <f>IF($R14="","",VLOOKUP($R14,Assumptions!$D$2:$F$6,3,FALSE))</f>
        <v/>
      </c>
      <c r="AU14" s="9" t="str">
        <f>IF($B14="","",$AR14*(1+$AS14)+(IF($M14="",$B$6,$M14)*$AT14))</f>
        <v/>
      </c>
      <c r="AV14" s="5" t="str">
        <f>IF($R14="","",VLOOKUP($R14,Assumptions!$D$2:$H$6,4,FALSE)+($Y14*VLOOKUP($R14,Assumptions!$D$2:$H$6,5,FALSE)))</f>
        <v/>
      </c>
      <c r="AW14" s="6">
        <v>175</v>
      </c>
      <c r="AX14" s="9" t="str">
        <f>IF($B14="","",$AV14*$AW14)</f>
        <v/>
      </c>
      <c r="AY14" s="7">
        <v>0</v>
      </c>
      <c r="AZ14" s="9" t="str">
        <f>IF($B14="","",$P14+($AU14+$AX14)*(1+$AY14))</f>
        <v/>
      </c>
      <c r="BA14" s="9" t="str">
        <f>IF($B14="","",$AZ14/IF($M14="",$B$6,$M14))</f>
        <v/>
      </c>
      <c r="BB14" s="9" t="str">
        <f>IF($B14="","",$AZ14-$B$4)</f>
        <v/>
      </c>
      <c r="BC14" s="10" t="str">
        <f>IF($B14="","",_xludf.RANK.EQ($AZ14,$AZ$11:$AZ$15,1))</f>
        <v/>
      </c>
      <c r="BD14" s="11" t="str">
        <f>IF($B14="","",$P14)</f>
        <v/>
      </c>
      <c r="BE14" s="11" t="str">
        <f>IF($B14="","",$AU14*(1+$AY14))</f>
        <v/>
      </c>
      <c r="BF14" s="11" t="str">
        <f>IF($B14="","",$AX14*(1+$AY14))</f>
        <v/>
      </c>
    </row>
    <row r="15" spans="1:58" ht="16" x14ac:dyDescent="0.2">
      <c r="A15" s="5">
        <v>5</v>
      </c>
      <c r="B15" s="2"/>
      <c r="C15" s="2"/>
      <c r="D15" s="2"/>
      <c r="E15" s="2"/>
      <c r="F15" s="20" t="s">
        <v>61</v>
      </c>
      <c r="G15" s="2"/>
      <c r="H15" s="21"/>
      <c r="I15" s="21"/>
      <c r="J15" s="6"/>
      <c r="K15" s="6"/>
      <c r="L15" s="5"/>
      <c r="M15" s="5"/>
      <c r="N15" s="7">
        <v>0.12</v>
      </c>
      <c r="O15" s="8">
        <v>0.8</v>
      </c>
      <c r="P15" s="9" t="str">
        <f>IF($B15="","",((IF($I15="$/4ft",(IF($M15="",$B$6,$M15)/4)*$K15,IF($M15="",$B$6,$M15)*$J15))*(1+$N15))/$O15)</f>
        <v/>
      </c>
      <c r="Q15" s="21"/>
      <c r="R15" s="21"/>
      <c r="S15" s="21"/>
      <c r="T15" s="21"/>
      <c r="U15" s="5"/>
      <c r="V15" s="5">
        <v>50</v>
      </c>
      <c r="W15" s="5"/>
      <c r="X15" s="5"/>
      <c r="Y15" s="5" t="str">
        <f>IF($B15="","",IF(IF($T15="Max Run Length",$X15,IF($T15="4LF",4,IF($T15="1LF",1,IF($T15="0.5LF",0.5,IF($T15="0.25LF",0.25,"")))))="","",CEILING(IF($M15="",$B$6,$M15)/IF($T15="Max Run Length",$X15,IF($T15="4LF",4,IF($T15="1LF",1,IF($T15="0.5LF",0.5,IF($T15="0.25LF",0.25,""))))),1)))</f>
        <v/>
      </c>
      <c r="Z15" s="5" t="str">
        <f>IF($H15="","",VLOOKUP($H15,Assumptions!$A$2:$B$5,2,FALSE))</f>
        <v/>
      </c>
      <c r="AA15" s="5" t="str">
        <f>IF($B15="","",ROUND($Y15*$Z15,0))</f>
        <v/>
      </c>
      <c r="AB15" s="5" t="str">
        <f>IF($B15="","",CEILING($AA15/512,1))</f>
        <v/>
      </c>
      <c r="AC15" s="5"/>
      <c r="AD15" s="5" t="str">
        <f>IF($AC15&gt;0,$AC15,$AB15)</f>
        <v/>
      </c>
      <c r="AE15" s="5" t="str">
        <f>IF($B15="","",IF($AD15&gt;=2,"LARGE","SMALL"))</f>
        <v/>
      </c>
      <c r="AF15" s="5">
        <v>1</v>
      </c>
      <c r="AG15" s="6" t="str">
        <f>IF($B15="","",VLOOKUP($AE15,Assumptions!$J$2:$K$3,2,FALSE))</f>
        <v/>
      </c>
      <c r="AH15" s="5" t="str">
        <f>IF($B15="","",IF($S15="eDMX",CEILING($AD15/4,1),0))</f>
        <v/>
      </c>
      <c r="AI15" s="6" t="str">
        <f>IF($B15="","",VLOOKUP("GATEWAY_EDMX_4PORT",Assumptions!$M$2:$N$6,2,FALSE))</f>
        <v/>
      </c>
      <c r="AJ15" s="5" t="str">
        <f>IF($B15="","",IF($F15="Integral",0,IF($R15&gt;=2,MAX(IF($L15="",$B$5,$L15),CEILING($Y15/6,1)),0)))</f>
        <v/>
      </c>
      <c r="AK15" s="6" t="str">
        <f>IF($B15="","",VLOOKUP("NEMA_ENCLOSURE_MED",Assumptions!$M$2:$N$6,2,FALSE))</f>
        <v/>
      </c>
      <c r="AL15" s="5" t="str">
        <f>IF($B15="","",IF($F15="Integral",0,IF($R15&gt;=2,$Y15,0)))</f>
        <v/>
      </c>
      <c r="AM15" s="6" t="str">
        <f>IF($B15="","",VLOOKUP("POWER_DRIVER_PACK",Assumptions!$M$2:$N$6,2,FALSE))</f>
        <v/>
      </c>
      <c r="AN15" s="5" t="str">
        <f>IF($B15="","",IF($S15="eDMX",MAX(1,CEILING($AH15/12,1)),0))</f>
        <v/>
      </c>
      <c r="AO15" s="6" t="str">
        <f>IF($B15="","",VLOOKUP("NETWORK_SWITCH",Assumptions!$M$2:$N$6,2,FALSE))</f>
        <v/>
      </c>
      <c r="AP15" s="5" t="str">
        <f>IF($B15="","",0)</f>
        <v/>
      </c>
      <c r="AQ15" s="6" t="str">
        <f>IF($B15="","",VLOOKUP("DMX_SPLITTER_PRO",Assumptions!$M$2:$N$6,2,FALSE))</f>
        <v/>
      </c>
      <c r="AR15" s="9" t="str">
        <f t="shared" si="0"/>
        <v/>
      </c>
      <c r="AS15" s="7" t="str">
        <f>IF($R15="","",VLOOKUP($R15,Assumptions!$D$2:$F$6,2,FALSE))</f>
        <v/>
      </c>
      <c r="AT15" s="6" t="str">
        <f>IF($R15="","",VLOOKUP($R15,Assumptions!$D$2:$F$6,3,FALSE))</f>
        <v/>
      </c>
      <c r="AU15" s="9" t="str">
        <f>IF($B15="","",$AR15*(1+$AS15)+(IF($M15="",$B$6,$M15)*$AT15))</f>
        <v/>
      </c>
      <c r="AV15" s="5" t="str">
        <f>IF($R15="","",VLOOKUP($R15,Assumptions!$D$2:$H$6,4,FALSE)+($Y15*VLOOKUP($R15,Assumptions!$D$2:$H$6,5,FALSE)))</f>
        <v/>
      </c>
      <c r="AW15" s="6">
        <v>175</v>
      </c>
      <c r="AX15" s="9" t="str">
        <f>IF($B15="","",$AV15*$AW15)</f>
        <v/>
      </c>
      <c r="AY15" s="7">
        <v>0</v>
      </c>
      <c r="AZ15" s="9" t="str">
        <f>IF($B15="","",$P15+($AU15+$AX15)*(1+$AY15))</f>
        <v/>
      </c>
      <c r="BA15" s="9" t="str">
        <f>IF($B15="","",$AZ15/IF($M15="",$B$6,$M15))</f>
        <v/>
      </c>
      <c r="BB15" s="9" t="str">
        <f>IF($B15="","",$AZ15-$B$4)</f>
        <v/>
      </c>
      <c r="BC15" s="10" t="str">
        <f>IF($B15="","",_xludf.RANK.EQ($AZ15,$AZ$11:$AZ$15,1))</f>
        <v/>
      </c>
      <c r="BD15" s="11" t="str">
        <f>IF($B15="","",$P15)</f>
        <v/>
      </c>
      <c r="BE15" s="11" t="str">
        <f>IF($B15="","",$AU15*(1+$AY15))</f>
        <v/>
      </c>
      <c r="BF15" s="11" t="str">
        <f>IF($B15="","",$AX15*(1+$AY15))</f>
        <v/>
      </c>
    </row>
  </sheetData>
  <mergeCells count="1">
    <mergeCell ref="A1:BC1"/>
  </mergeCells>
  <dataValidations count="3">
    <dataValidation type="list" allowBlank="1" sqref="I11:I15" xr:uid="{00000000-0002-0000-0000-000001000000}">
      <formula1>"$/LF,$/4ft"</formula1>
    </dataValidation>
    <dataValidation type="list" allowBlank="1" sqref="R11:R15" xr:uid="{00000000-0002-0000-0000-000003000000}">
      <formula1>"0,1,2,3,4"</formula1>
    </dataValidation>
    <dataValidation type="list" allowBlank="1" sqref="S11:S15" xr:uid="{00000000-0002-0000-0000-000004000000}">
      <formula1>"DMX,eDMX,0-10V/DALI,Other"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Assumptions!$A$2:$A$5</xm:f>
          </x14:formula1>
          <xm:sqref>H11:H15</xm:sqref>
        </x14:dataValidation>
        <x14:dataValidation type="list" allowBlank="1" xr:uid="{00000000-0002-0000-0000-000002000000}">
          <x14:formula1>
            <xm:f>Assumptions!$P$2:$P$6</xm:f>
          </x14:formula1>
          <xm:sqref>Q11:Q15</xm:sqref>
        </x14:dataValidation>
        <x14:dataValidation type="list" allowBlank="1" xr:uid="{00000000-0002-0000-0000-000005000000}">
          <x14:formula1>
            <xm:f>Assumptions!$T$2:$T$6</xm:f>
          </x14:formula1>
          <xm:sqref>T11:T15</xm:sqref>
        </x14:dataValidation>
        <x14:dataValidation type="list" allowBlank="1" xr:uid="{00000000-0002-0000-0000-000006000000}">
          <x14:formula1>
            <xm:f>Assumptions!$U$2:$U$3</xm:f>
          </x14:formula1>
          <xm:sqref>F11:F15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8" customWidth="1"/>
    <col min="2" max="2" width="20" customWidth="1"/>
    <col min="4" max="4" width="14" customWidth="1"/>
    <col min="5" max="6" width="18" customWidth="1"/>
    <col min="7" max="8" width="14" customWidth="1"/>
    <col min="10" max="10" width="16" customWidth="1"/>
    <col min="11" max="11" width="18" customWidth="1"/>
    <col min="13" max="13" width="22" customWidth="1"/>
    <col min="14" max="14" width="18" customWidth="1"/>
    <col min="16" max="16" width="18" customWidth="1"/>
    <col min="17" max="17" width="14" customWidth="1"/>
    <col min="18" max="18" width="16" customWidth="1"/>
    <col min="20" max="20" width="22" customWidth="1"/>
    <col min="21" max="21" width="18" customWidth="1"/>
  </cols>
  <sheetData>
    <row r="1" spans="1:21" ht="16" x14ac:dyDescent="0.2">
      <c r="A1" s="12" t="s">
        <v>13</v>
      </c>
      <c r="B1" s="12" t="s">
        <v>62</v>
      </c>
      <c r="D1" s="12" t="s">
        <v>23</v>
      </c>
      <c r="E1" s="12" t="s">
        <v>63</v>
      </c>
      <c r="F1" s="12" t="s">
        <v>64</v>
      </c>
      <c r="G1" s="12" t="s">
        <v>65</v>
      </c>
      <c r="H1" s="12" t="s">
        <v>66</v>
      </c>
      <c r="J1" s="12" t="s">
        <v>33</v>
      </c>
      <c r="K1" s="12" t="s">
        <v>67</v>
      </c>
      <c r="M1" s="12" t="s">
        <v>68</v>
      </c>
      <c r="N1" s="12" t="s">
        <v>67</v>
      </c>
      <c r="P1" s="12" t="s">
        <v>22</v>
      </c>
      <c r="Q1" s="12" t="s">
        <v>69</v>
      </c>
      <c r="R1" s="12" t="s">
        <v>70</v>
      </c>
      <c r="T1" s="15" t="s">
        <v>71</v>
      </c>
      <c r="U1" s="15" t="s">
        <v>72</v>
      </c>
    </row>
    <row r="2" spans="1:21" x14ac:dyDescent="0.2">
      <c r="A2" t="s">
        <v>73</v>
      </c>
      <c r="B2">
        <v>1</v>
      </c>
      <c r="D2">
        <v>0</v>
      </c>
      <c r="E2" s="13">
        <v>0</v>
      </c>
      <c r="F2" s="14">
        <v>0</v>
      </c>
      <c r="G2">
        <v>0</v>
      </c>
      <c r="H2">
        <v>0.16</v>
      </c>
      <c r="J2" t="s">
        <v>74</v>
      </c>
      <c r="K2" s="14">
        <v>1200</v>
      </c>
      <c r="M2" t="s">
        <v>75</v>
      </c>
      <c r="N2" s="14">
        <v>1250</v>
      </c>
      <c r="P2" t="s">
        <v>76</v>
      </c>
      <c r="Q2">
        <v>1</v>
      </c>
      <c r="R2" t="s">
        <v>77</v>
      </c>
      <c r="T2" t="s">
        <v>78</v>
      </c>
      <c r="U2" t="s">
        <v>79</v>
      </c>
    </row>
    <row r="3" spans="1:21" x14ac:dyDescent="0.2">
      <c r="A3" t="s">
        <v>80</v>
      </c>
      <c r="B3">
        <v>2</v>
      </c>
      <c r="D3">
        <v>1</v>
      </c>
      <c r="E3" s="13">
        <v>0.1</v>
      </c>
      <c r="F3" s="14">
        <v>1.5</v>
      </c>
      <c r="G3">
        <v>4</v>
      </c>
      <c r="H3">
        <v>0.16</v>
      </c>
      <c r="J3" t="s">
        <v>81</v>
      </c>
      <c r="K3" s="14">
        <v>41640</v>
      </c>
      <c r="M3" t="s">
        <v>82</v>
      </c>
      <c r="N3" s="14">
        <v>900</v>
      </c>
      <c r="P3" t="s">
        <v>83</v>
      </c>
      <c r="Q3">
        <v>2</v>
      </c>
      <c r="R3" t="s">
        <v>84</v>
      </c>
      <c r="T3" t="s">
        <v>85</v>
      </c>
      <c r="U3" t="s">
        <v>61</v>
      </c>
    </row>
    <row r="4" spans="1:21" x14ac:dyDescent="0.2">
      <c r="A4" t="s">
        <v>86</v>
      </c>
      <c r="B4">
        <v>3</v>
      </c>
      <c r="D4">
        <v>2</v>
      </c>
      <c r="E4" s="13">
        <v>0.15</v>
      </c>
      <c r="F4" s="14">
        <v>4</v>
      </c>
      <c r="G4">
        <v>8</v>
      </c>
      <c r="H4">
        <v>0.16</v>
      </c>
      <c r="M4" t="s">
        <v>87</v>
      </c>
      <c r="N4" s="14">
        <v>750</v>
      </c>
      <c r="P4" t="s">
        <v>88</v>
      </c>
      <c r="Q4">
        <v>2</v>
      </c>
      <c r="R4" t="s">
        <v>84</v>
      </c>
      <c r="T4" t="s">
        <v>89</v>
      </c>
    </row>
    <row r="5" spans="1:21" x14ac:dyDescent="0.2">
      <c r="A5" t="s">
        <v>90</v>
      </c>
      <c r="B5">
        <v>4</v>
      </c>
      <c r="D5">
        <v>3</v>
      </c>
      <c r="E5" s="13">
        <v>0.2</v>
      </c>
      <c r="F5" s="14">
        <v>6</v>
      </c>
      <c r="G5">
        <v>16</v>
      </c>
      <c r="H5">
        <v>0.16</v>
      </c>
      <c r="M5" t="s">
        <v>91</v>
      </c>
      <c r="N5" s="14">
        <v>650</v>
      </c>
      <c r="P5" t="s">
        <v>92</v>
      </c>
      <c r="Q5">
        <v>2</v>
      </c>
      <c r="R5" t="s">
        <v>84</v>
      </c>
      <c r="T5" t="s">
        <v>93</v>
      </c>
    </row>
    <row r="6" spans="1:21" x14ac:dyDescent="0.2">
      <c r="D6">
        <v>4</v>
      </c>
      <c r="E6" s="13">
        <v>0.25</v>
      </c>
      <c r="F6" s="14">
        <v>10</v>
      </c>
      <c r="G6">
        <v>24</v>
      </c>
      <c r="H6">
        <v>0.16</v>
      </c>
      <c r="M6" t="s">
        <v>94</v>
      </c>
      <c r="N6" s="14">
        <v>600</v>
      </c>
      <c r="P6" t="s">
        <v>95</v>
      </c>
      <c r="Q6">
        <v>2</v>
      </c>
      <c r="R6" t="s">
        <v>84</v>
      </c>
      <c r="T6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Thompson</cp:lastModifiedBy>
  <dcterms:created xsi:type="dcterms:W3CDTF">2025-12-18T22:59:20Z</dcterms:created>
  <dcterms:modified xsi:type="dcterms:W3CDTF">2025-12-19T04:12:10Z</dcterms:modified>
</cp:coreProperties>
</file>